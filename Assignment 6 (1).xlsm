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r\Excel\"/>
    </mc:Choice>
  </mc:AlternateContent>
  <xr:revisionPtr revIDLastSave="0" documentId="13_ncr:1_{ED4A5B83-3434-4F8F-93AA-DDEFBF96176F}" xr6:coauthVersionLast="47" xr6:coauthVersionMax="47" xr10:uidLastSave="{00000000-0000-0000-0000-000000000000}"/>
  <bookViews>
    <workbookView xWindow="-48" yWindow="-48" windowWidth="23136" windowHeight="12456" activeTab="2" xr2:uid="{00000000-000D-0000-FFFF-FFFF00000000}"/>
  </bookViews>
  <sheets>
    <sheet name="1" sheetId="1" r:id="rId1"/>
    <sheet name="Sheet2" sheetId="4" r:id="rId2"/>
    <sheet name="2" sheetId="2" r:id="rId3"/>
    <sheet name="Sheet3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4" l="1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K6" i="4"/>
  <c r="I6" i="4"/>
  <c r="J9" i="1"/>
  <c r="H9" i="1"/>
</calcChain>
</file>

<file path=xl/sharedStrings.xml><?xml version="1.0" encoding="utf-8"?>
<sst xmlns="http://schemas.openxmlformats.org/spreadsheetml/2006/main" count="100" uniqueCount="29">
  <si>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</si>
  <si>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</si>
  <si>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</si>
  <si>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</si>
  <si>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</si>
  <si>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</si>
  <si>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</si>
  <si>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</si>
  <si>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</si>
  <si>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</si>
  <si>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</si>
  <si>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</si>
  <si>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</si>
  <si>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</si>
  <si>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</si>
  <si>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</si>
  <si>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</si>
  <si>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</si>
  <si>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</si>
  <si>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</si>
  <si>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</si>
  <si>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Student Data Table</t>
  </si>
  <si>
    <t>Roll.no</t>
  </si>
  <si>
    <t>Name</t>
  </si>
  <si>
    <t>F/Name</t>
  </si>
  <si>
    <t>D.O.B</t>
  </si>
  <si>
    <t>S.NO</t>
  </si>
  <si>
    <t>Venom</t>
  </si>
  <si>
    <t>Kong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</si>
</sst>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5" borderId="0" xfId="0" applyFill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</xdr:colOff>
      <xdr:row>11</xdr:row>
      <xdr:rowOff>60960</xdr:rowOff>
    </xdr:from>
    <xdr:to>
      <xdr:col>13</xdr:col>
      <xdr:colOff>548640</xdr:colOff>
      <xdr:row>14</xdr:row>
      <xdr:rowOff>30480</xdr:rowOff>
    </xdr:to>
    <xdr:sp macro="[0]!Comma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C8618E-977F-0218-9E3D-4A0F4A1ECB83}"/>
            </a:ext>
          </a:extLst>
        </xdr:cNvPr>
        <xdr:cNvSpPr/>
      </xdr:nvSpPr>
      <xdr:spPr>
        <a:xfrm>
          <a:off x="9212580" y="2072640"/>
          <a:ext cx="1706880" cy="518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Custom</a:t>
          </a:r>
          <a:r>
            <a:rPr lang="en-US" sz="2000" baseline="0">
              <a:solidFill>
                <a:schemeClr val="tx1"/>
              </a:solidFill>
            </a:rPr>
            <a:t> Tab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510540</xdr:colOff>
      <xdr:row>8</xdr:row>
      <xdr:rowOff>60960</xdr:rowOff>
    </xdr:from>
    <xdr:to>
      <xdr:col>12</xdr:col>
      <xdr:colOff>449580</xdr:colOff>
      <xdr:row>10</xdr:row>
      <xdr:rowOff>152400</xdr:rowOff>
    </xdr:to>
    <xdr:sp macro="[0]!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34BA31-CED3-F683-424B-007A0BFD817C}"/>
            </a:ext>
          </a:extLst>
        </xdr:cNvPr>
        <xdr:cNvSpPr/>
      </xdr:nvSpPr>
      <xdr:spPr>
        <a:xfrm>
          <a:off x="6880860" y="1531620"/>
          <a:ext cx="1767840" cy="4648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Save</a:t>
          </a:r>
          <a:r>
            <a:rPr lang="en-US" sz="1600" baseline="0">
              <a:solidFill>
                <a:schemeClr val="tx1"/>
              </a:solidFill>
            </a:rPr>
            <a:t> Record</a:t>
          </a:r>
        </a:p>
        <a:p>
          <a:pPr algn="ctr"/>
          <a:endParaRPr lang="en-US" sz="16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044B51-8A37-4E31-983D-3EEA28461474}" name="Table1" displayName="Table1" ref="D5:K38" totalsRowShown="0">
  <autoFilter ref="D5:K38" xr:uid="{AE044B51-8A37-4E31-983D-3EEA28461474}"/>
  <tableColumns count="8">
    <tableColumn id="1" xr3:uid="{E3935A38-FBCB-4EDB-A136-04431A955B72}" name="Row ID"/>
    <tableColumn id="2" xr3:uid="{5C938864-452A-4EA3-BECA-AB42D2A1A3F5}" name="Order Priority"/>
    <tableColumn id="3" xr3:uid="{7DE708F0-9C25-4397-8B4A-EEABB21CFF8D}" name="Quantity ordered"/>
    <tableColumn id="4" xr3:uid="{0ECCBFE2-8AA7-4401-9C3D-49DBFF5CC5CA}" name="Unit Price"/>
    <tableColumn id="5" xr3:uid="{09EF4E59-1982-47FA-9B03-CEEBA1ED268E}" name="Shipping Cost"/>
    <tableColumn id="6" xr3:uid="{AD34D647-6EFA-40E5-B501-328E90568EC4}" name="Sales amount" dataDxfId="1">
      <calculatedColumnFormula>F6*G6</calculatedColumnFormula>
    </tableColumn>
    <tableColumn id="7" xr3:uid="{A7001478-4790-4481-8D6E-FCCFF1046DB2}" name="Product Margin per unit"/>
    <tableColumn id="8" xr3:uid="{7C79E038-12B2-4676-BCDD-65BC6FC49D7F}" name="Profit" dataDxfId="0">
      <calculatedColumnFormula>(F6*J6)-H6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C8" sqref="C8:J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82CA8-D00C-4612-A80A-E4487D4B0BA2}">
  <sheetPr codeName="Sheet2"/>
  <dimension ref="D5:K38"/>
  <sheetViews>
    <sheetView workbookViewId="0">
      <selection activeCell="K6" sqref="K6:K38"/>
    </sheetView>
  </sheetViews>
  <sheetFormatPr defaultRowHeight="14.4" x14ac:dyDescent="0.3"/>
  <cols>
    <col min="3" max="4" width="15.6640625" customWidth="1"/>
    <col min="5" max="5" width="16.88671875" customWidth="1"/>
    <col min="6" max="6" width="17.33203125" customWidth="1"/>
    <col min="7" max="7" width="16.44140625" customWidth="1"/>
    <col min="8" max="8" width="21.21875" customWidth="1"/>
    <col min="9" max="9" width="21.44140625" customWidth="1"/>
    <col min="10" max="10" width="23" customWidth="1"/>
  </cols>
  <sheetData>
    <row r="5" spans="4:11" x14ac:dyDescent="0.3">
      <c r="D5" t="s">
        <v>3</v>
      </c>
      <c r="E5" t="s">
        <v>4</v>
      </c>
      <c r="F5" t="s">
        <v>11</v>
      </c>
      <c r="G5" t="s">
        <v>12</v>
      </c>
      <c r="H5" t="s">
        <v>13</v>
      </c>
      <c r="I5" t="s">
        <v>14</v>
      </c>
      <c r="J5" t="s">
        <v>15</v>
      </c>
      <c r="K5" t="s">
        <v>10</v>
      </c>
    </row>
    <row r="6" spans="4:11" x14ac:dyDescent="0.3">
      <c r="D6">
        <v>20847</v>
      </c>
      <c r="E6" t="s">
        <v>5</v>
      </c>
      <c r="F6">
        <v>4</v>
      </c>
      <c r="G6">
        <v>2.84</v>
      </c>
      <c r="H6">
        <v>0.93</v>
      </c>
      <c r="I6">
        <f t="shared" ref="I6:I38" si="0">F6*G6</f>
        <v>11.36</v>
      </c>
      <c r="J6">
        <v>0.54</v>
      </c>
      <c r="K6">
        <f t="shared" ref="K6:K38" si="1">(F6*J6)-H6</f>
        <v>1.23</v>
      </c>
    </row>
    <row r="7" spans="4:11" x14ac:dyDescent="0.3">
      <c r="D7">
        <v>20228</v>
      </c>
      <c r="E7" t="s">
        <v>6</v>
      </c>
      <c r="F7">
        <v>12</v>
      </c>
      <c r="G7">
        <v>500.98</v>
      </c>
      <c r="H7">
        <v>26</v>
      </c>
      <c r="I7">
        <f t="shared" si="0"/>
        <v>6011.76</v>
      </c>
      <c r="J7">
        <v>0.6</v>
      </c>
      <c r="K7">
        <f t="shared" si="1"/>
        <v>-18.8</v>
      </c>
    </row>
    <row r="8" spans="4:11" x14ac:dyDescent="0.3">
      <c r="D8">
        <v>21776</v>
      </c>
      <c r="E8" t="s">
        <v>7</v>
      </c>
      <c r="F8">
        <v>22</v>
      </c>
      <c r="G8">
        <v>9.48</v>
      </c>
      <c r="H8">
        <v>7.29</v>
      </c>
      <c r="I8">
        <f t="shared" si="0"/>
        <v>208.56</v>
      </c>
      <c r="J8">
        <v>0.45</v>
      </c>
      <c r="K8">
        <f t="shared" si="1"/>
        <v>2.6100000000000003</v>
      </c>
    </row>
    <row r="9" spans="4:11" x14ac:dyDescent="0.3">
      <c r="D9">
        <v>24844</v>
      </c>
      <c r="E9" t="s">
        <v>8</v>
      </c>
      <c r="F9">
        <v>16</v>
      </c>
      <c r="G9">
        <v>78.69</v>
      </c>
      <c r="H9">
        <v>19.989999999999998</v>
      </c>
      <c r="I9">
        <f t="shared" si="0"/>
        <v>1259.04</v>
      </c>
      <c r="J9">
        <v>0.43</v>
      </c>
      <c r="K9">
        <f t="shared" si="1"/>
        <v>-13.11</v>
      </c>
    </row>
    <row r="10" spans="4:11" x14ac:dyDescent="0.3">
      <c r="D10">
        <v>24846</v>
      </c>
      <c r="E10" t="s">
        <v>8</v>
      </c>
      <c r="F10">
        <v>7</v>
      </c>
      <c r="G10">
        <v>3.28</v>
      </c>
      <c r="H10">
        <v>2.31</v>
      </c>
      <c r="I10">
        <f t="shared" si="0"/>
        <v>22.959999999999997</v>
      </c>
      <c r="J10">
        <v>0.56000000000000005</v>
      </c>
      <c r="K10">
        <f t="shared" si="1"/>
        <v>1.6100000000000003</v>
      </c>
    </row>
    <row r="11" spans="4:11" x14ac:dyDescent="0.3">
      <c r="D11">
        <v>24847</v>
      </c>
      <c r="E11" t="s">
        <v>8</v>
      </c>
      <c r="F11">
        <v>4</v>
      </c>
      <c r="G11">
        <v>3.28</v>
      </c>
      <c r="H11">
        <v>4.2</v>
      </c>
      <c r="I11">
        <f t="shared" si="0"/>
        <v>13.12</v>
      </c>
      <c r="J11">
        <v>0.56000000000000005</v>
      </c>
      <c r="K11">
        <f t="shared" si="1"/>
        <v>-1.96</v>
      </c>
    </row>
    <row r="12" spans="4:11" x14ac:dyDescent="0.3">
      <c r="D12">
        <v>24848</v>
      </c>
      <c r="E12" t="s">
        <v>8</v>
      </c>
      <c r="F12">
        <v>4</v>
      </c>
      <c r="G12">
        <v>3.58</v>
      </c>
      <c r="H12">
        <v>1.63</v>
      </c>
      <c r="I12">
        <f t="shared" si="0"/>
        <v>14.32</v>
      </c>
      <c r="J12">
        <v>0.36</v>
      </c>
      <c r="K12">
        <f t="shared" si="1"/>
        <v>-0.18999999999999995</v>
      </c>
    </row>
    <row r="13" spans="4:11" x14ac:dyDescent="0.3">
      <c r="D13">
        <v>18181</v>
      </c>
      <c r="E13" t="s">
        <v>7</v>
      </c>
      <c r="F13">
        <v>7</v>
      </c>
      <c r="G13">
        <v>4.42</v>
      </c>
      <c r="H13">
        <v>4.99</v>
      </c>
      <c r="I13">
        <f t="shared" si="0"/>
        <v>30.939999999999998</v>
      </c>
      <c r="J13">
        <v>0.38</v>
      </c>
      <c r="K13">
        <f t="shared" si="1"/>
        <v>-2.33</v>
      </c>
    </row>
    <row r="14" spans="4:11" x14ac:dyDescent="0.3">
      <c r="D14">
        <v>20925</v>
      </c>
      <c r="E14" t="s">
        <v>8</v>
      </c>
      <c r="F14">
        <v>10</v>
      </c>
      <c r="G14">
        <v>35.94</v>
      </c>
      <c r="H14">
        <v>6.66</v>
      </c>
      <c r="I14">
        <f t="shared" si="0"/>
        <v>359.4</v>
      </c>
      <c r="J14">
        <v>0.4</v>
      </c>
      <c r="K14">
        <f t="shared" si="1"/>
        <v>-2.66</v>
      </c>
    </row>
    <row r="15" spans="4:11" x14ac:dyDescent="0.3">
      <c r="D15">
        <v>26267</v>
      </c>
      <c r="E15" t="s">
        <v>5</v>
      </c>
      <c r="F15">
        <v>6</v>
      </c>
      <c r="G15">
        <v>2.98</v>
      </c>
      <c r="H15">
        <v>1.58</v>
      </c>
      <c r="I15">
        <f t="shared" si="0"/>
        <v>17.88</v>
      </c>
      <c r="J15">
        <v>0.39</v>
      </c>
      <c r="K15">
        <f t="shared" si="1"/>
        <v>0.75999999999999979</v>
      </c>
    </row>
    <row r="16" spans="4:11" x14ac:dyDescent="0.3">
      <c r="D16">
        <v>26268</v>
      </c>
      <c r="E16" t="s">
        <v>5</v>
      </c>
      <c r="F16">
        <v>10</v>
      </c>
      <c r="G16">
        <v>115.99</v>
      </c>
      <c r="H16">
        <v>2.5</v>
      </c>
      <c r="I16">
        <f t="shared" si="0"/>
        <v>1159.8999999999999</v>
      </c>
      <c r="J16">
        <v>0.55000000000000004</v>
      </c>
      <c r="K16">
        <f t="shared" si="1"/>
        <v>3</v>
      </c>
    </row>
    <row r="17" spans="4:11" x14ac:dyDescent="0.3">
      <c r="D17">
        <v>23890</v>
      </c>
      <c r="E17" t="s">
        <v>5</v>
      </c>
      <c r="F17">
        <v>17</v>
      </c>
      <c r="G17">
        <v>26.48</v>
      </c>
      <c r="H17">
        <v>6.93</v>
      </c>
      <c r="I17">
        <f t="shared" si="0"/>
        <v>450.16</v>
      </c>
      <c r="J17">
        <v>0.49</v>
      </c>
      <c r="K17">
        <f t="shared" si="1"/>
        <v>1.4000000000000004</v>
      </c>
    </row>
    <row r="18" spans="4:11" x14ac:dyDescent="0.3">
      <c r="D18">
        <v>24063</v>
      </c>
      <c r="E18" t="s">
        <v>6</v>
      </c>
      <c r="F18">
        <v>18</v>
      </c>
      <c r="G18">
        <v>12.99</v>
      </c>
      <c r="H18">
        <v>9.44</v>
      </c>
      <c r="I18">
        <f t="shared" si="0"/>
        <v>233.82</v>
      </c>
      <c r="J18">
        <v>0.39</v>
      </c>
      <c r="K18">
        <f t="shared" si="1"/>
        <v>-2.419999999999999</v>
      </c>
    </row>
    <row r="19" spans="4:11" x14ac:dyDescent="0.3">
      <c r="D19">
        <v>5890</v>
      </c>
      <c r="E19" t="s">
        <v>5</v>
      </c>
      <c r="F19">
        <v>70</v>
      </c>
      <c r="G19">
        <v>26.48</v>
      </c>
      <c r="H19">
        <v>6.93</v>
      </c>
      <c r="I19">
        <f t="shared" si="0"/>
        <v>1853.6000000000001</v>
      </c>
      <c r="J19">
        <v>0.49</v>
      </c>
      <c r="K19">
        <f t="shared" si="1"/>
        <v>27.369999999999997</v>
      </c>
    </row>
    <row r="20" spans="4:11" x14ac:dyDescent="0.3">
      <c r="D20">
        <v>6062</v>
      </c>
      <c r="E20" t="s">
        <v>6</v>
      </c>
      <c r="F20">
        <v>58</v>
      </c>
      <c r="G20">
        <v>5</v>
      </c>
      <c r="H20">
        <v>3.39</v>
      </c>
      <c r="I20">
        <f t="shared" si="0"/>
        <v>290</v>
      </c>
      <c r="J20">
        <v>0.37</v>
      </c>
      <c r="K20">
        <f t="shared" si="1"/>
        <v>18.07</v>
      </c>
    </row>
    <row r="21" spans="4:11" x14ac:dyDescent="0.3">
      <c r="D21">
        <v>6063</v>
      </c>
      <c r="E21" t="s">
        <v>6</v>
      </c>
      <c r="F21">
        <v>71</v>
      </c>
      <c r="G21">
        <v>12.99</v>
      </c>
      <c r="H21">
        <v>9.44</v>
      </c>
      <c r="I21">
        <f t="shared" si="0"/>
        <v>922.29</v>
      </c>
      <c r="J21">
        <v>0.39</v>
      </c>
      <c r="K21">
        <f t="shared" si="1"/>
        <v>18.25</v>
      </c>
    </row>
    <row r="22" spans="4:11" x14ac:dyDescent="0.3">
      <c r="D22">
        <v>20631</v>
      </c>
      <c r="E22" t="s">
        <v>5</v>
      </c>
      <c r="F22">
        <v>1</v>
      </c>
      <c r="G22">
        <v>55.48</v>
      </c>
      <c r="H22">
        <v>14.3</v>
      </c>
      <c r="I22">
        <f t="shared" si="0"/>
        <v>55.48</v>
      </c>
      <c r="J22">
        <v>0.37</v>
      </c>
      <c r="K22">
        <f t="shared" si="1"/>
        <v>-13.930000000000001</v>
      </c>
    </row>
    <row r="23" spans="4:11" x14ac:dyDescent="0.3">
      <c r="D23">
        <v>20632</v>
      </c>
      <c r="E23" t="s">
        <v>5</v>
      </c>
      <c r="F23">
        <v>1</v>
      </c>
      <c r="G23">
        <v>1.68</v>
      </c>
      <c r="H23">
        <v>1.57</v>
      </c>
      <c r="I23">
        <f t="shared" si="0"/>
        <v>1.68</v>
      </c>
      <c r="J23">
        <v>0.59</v>
      </c>
      <c r="K23">
        <f t="shared" si="1"/>
        <v>-0.98000000000000009</v>
      </c>
    </row>
    <row r="24" spans="4:11" x14ac:dyDescent="0.3">
      <c r="D24">
        <v>23967</v>
      </c>
      <c r="E24" t="s">
        <v>6</v>
      </c>
      <c r="F24">
        <v>12</v>
      </c>
      <c r="G24">
        <v>4.1399999999999997</v>
      </c>
      <c r="H24">
        <v>6.6</v>
      </c>
      <c r="I24">
        <f t="shared" si="0"/>
        <v>49.679999999999993</v>
      </c>
      <c r="J24">
        <v>0.49</v>
      </c>
      <c r="K24">
        <f t="shared" si="1"/>
        <v>-0.71999999999999975</v>
      </c>
    </row>
    <row r="25" spans="4:11" x14ac:dyDescent="0.3">
      <c r="D25">
        <v>23509</v>
      </c>
      <c r="E25" t="s">
        <v>5</v>
      </c>
      <c r="F25">
        <v>13</v>
      </c>
      <c r="G25">
        <v>34.99</v>
      </c>
      <c r="H25">
        <v>7.73</v>
      </c>
      <c r="I25">
        <f t="shared" si="0"/>
        <v>454.87</v>
      </c>
      <c r="J25">
        <v>0.59</v>
      </c>
      <c r="K25">
        <f t="shared" si="1"/>
        <v>-6.0000000000000497E-2</v>
      </c>
    </row>
    <row r="26" spans="4:11" x14ac:dyDescent="0.3">
      <c r="D26">
        <v>23612</v>
      </c>
      <c r="E26" t="s">
        <v>5</v>
      </c>
      <c r="F26">
        <v>2</v>
      </c>
      <c r="G26">
        <v>17.98</v>
      </c>
      <c r="H26">
        <v>8.51</v>
      </c>
      <c r="I26">
        <f t="shared" si="0"/>
        <v>35.96</v>
      </c>
      <c r="J26">
        <v>0.4</v>
      </c>
      <c r="K26">
        <f t="shared" si="1"/>
        <v>-7.71</v>
      </c>
    </row>
    <row r="27" spans="4:11" x14ac:dyDescent="0.3">
      <c r="D27">
        <v>23278</v>
      </c>
      <c r="E27" t="s">
        <v>8</v>
      </c>
      <c r="F27">
        <v>8</v>
      </c>
      <c r="G27">
        <v>125.99</v>
      </c>
      <c r="H27">
        <v>7.69</v>
      </c>
      <c r="I27">
        <f t="shared" si="0"/>
        <v>1007.92</v>
      </c>
      <c r="J27">
        <v>0.59</v>
      </c>
      <c r="K27">
        <f t="shared" si="1"/>
        <v>-2.9700000000000006</v>
      </c>
    </row>
    <row r="28" spans="4:11" x14ac:dyDescent="0.3">
      <c r="D28">
        <v>19355</v>
      </c>
      <c r="E28" t="s">
        <v>9</v>
      </c>
      <c r="F28">
        <v>22</v>
      </c>
      <c r="G28">
        <v>205.99</v>
      </c>
      <c r="H28">
        <v>8.99</v>
      </c>
      <c r="I28">
        <f t="shared" si="0"/>
        <v>4531.7800000000007</v>
      </c>
      <c r="J28">
        <v>0.56000000000000005</v>
      </c>
      <c r="K28">
        <f t="shared" si="1"/>
        <v>3.33</v>
      </c>
    </row>
    <row r="29" spans="4:11" x14ac:dyDescent="0.3">
      <c r="D29">
        <v>23654</v>
      </c>
      <c r="E29" t="s">
        <v>6</v>
      </c>
      <c r="F29">
        <v>13</v>
      </c>
      <c r="G29">
        <v>4.24</v>
      </c>
      <c r="H29">
        <v>5.41</v>
      </c>
      <c r="I29">
        <f t="shared" si="0"/>
        <v>55.120000000000005</v>
      </c>
      <c r="J29">
        <v>0.35</v>
      </c>
      <c r="K29">
        <f t="shared" si="1"/>
        <v>-0.86000000000000032</v>
      </c>
    </row>
    <row r="30" spans="4:11" x14ac:dyDescent="0.3">
      <c r="D30">
        <v>23655</v>
      </c>
      <c r="E30" t="s">
        <v>6</v>
      </c>
      <c r="F30">
        <v>18</v>
      </c>
      <c r="G30">
        <v>2.94</v>
      </c>
      <c r="H30">
        <v>0.7</v>
      </c>
      <c r="I30">
        <f t="shared" si="0"/>
        <v>52.92</v>
      </c>
      <c r="J30">
        <v>0.57999999999999996</v>
      </c>
      <c r="K30">
        <f t="shared" si="1"/>
        <v>9.74</v>
      </c>
    </row>
    <row r="31" spans="4:11" x14ac:dyDescent="0.3">
      <c r="D31">
        <v>25933</v>
      </c>
      <c r="E31" t="s">
        <v>5</v>
      </c>
      <c r="F31">
        <v>6</v>
      </c>
      <c r="G31">
        <v>99.99</v>
      </c>
      <c r="H31">
        <v>19.989999999999998</v>
      </c>
      <c r="I31">
        <f t="shared" si="0"/>
        <v>599.93999999999994</v>
      </c>
      <c r="J31">
        <v>0.52</v>
      </c>
      <c r="K31">
        <f t="shared" si="1"/>
        <v>-16.869999999999997</v>
      </c>
    </row>
    <row r="32" spans="4:11" x14ac:dyDescent="0.3">
      <c r="D32">
        <v>20697</v>
      </c>
      <c r="E32" t="s">
        <v>8</v>
      </c>
      <c r="F32">
        <v>6</v>
      </c>
      <c r="G32">
        <v>115.99</v>
      </c>
      <c r="H32">
        <v>2.5</v>
      </c>
      <c r="I32">
        <f t="shared" si="0"/>
        <v>695.93999999999994</v>
      </c>
      <c r="J32">
        <v>0.56999999999999995</v>
      </c>
      <c r="K32">
        <f t="shared" si="1"/>
        <v>0.91999999999999993</v>
      </c>
    </row>
    <row r="33" spans="4:11" x14ac:dyDescent="0.3">
      <c r="D33">
        <v>20698</v>
      </c>
      <c r="E33" t="s">
        <v>8</v>
      </c>
      <c r="F33">
        <v>1</v>
      </c>
      <c r="G33">
        <v>3502.14</v>
      </c>
      <c r="H33">
        <v>8.73</v>
      </c>
      <c r="I33">
        <f t="shared" si="0"/>
        <v>3502.14</v>
      </c>
      <c r="J33">
        <v>0.56999999999999995</v>
      </c>
      <c r="K33">
        <f t="shared" si="1"/>
        <v>-8.16</v>
      </c>
    </row>
    <row r="34" spans="4:11" x14ac:dyDescent="0.3">
      <c r="D34">
        <v>22890</v>
      </c>
      <c r="E34" t="s">
        <v>5</v>
      </c>
      <c r="F34">
        <v>17</v>
      </c>
      <c r="G34">
        <v>175.99</v>
      </c>
      <c r="H34">
        <v>5.79</v>
      </c>
      <c r="I34">
        <f t="shared" si="0"/>
        <v>2991.83</v>
      </c>
      <c r="J34">
        <v>0.36</v>
      </c>
      <c r="K34">
        <f t="shared" si="1"/>
        <v>0.33000000000000007</v>
      </c>
    </row>
    <row r="35" spans="4:11" x14ac:dyDescent="0.3">
      <c r="D35">
        <v>25354</v>
      </c>
      <c r="E35" t="s">
        <v>5</v>
      </c>
      <c r="F35">
        <v>20</v>
      </c>
      <c r="G35">
        <v>155.06</v>
      </c>
      <c r="H35">
        <v>1.49</v>
      </c>
      <c r="I35">
        <f t="shared" si="0"/>
        <v>3101.2</v>
      </c>
      <c r="J35">
        <v>0.38</v>
      </c>
      <c r="K35">
        <f t="shared" si="1"/>
        <v>6.1099999999999994</v>
      </c>
    </row>
    <row r="36" spans="4:11" x14ac:dyDescent="0.3">
      <c r="D36">
        <v>21017</v>
      </c>
      <c r="E36" t="s">
        <v>6</v>
      </c>
      <c r="F36">
        <v>17</v>
      </c>
      <c r="G36">
        <v>5.98</v>
      </c>
      <c r="H36">
        <v>0.7</v>
      </c>
      <c r="I36">
        <f t="shared" si="0"/>
        <v>101.66000000000001</v>
      </c>
      <c r="J36">
        <v>0.56000000000000005</v>
      </c>
      <c r="K36">
        <f t="shared" si="1"/>
        <v>8.8200000000000021</v>
      </c>
    </row>
    <row r="37" spans="4:11" x14ac:dyDescent="0.3">
      <c r="D37">
        <v>21019</v>
      </c>
      <c r="E37" t="s">
        <v>6</v>
      </c>
      <c r="F37">
        <v>3</v>
      </c>
      <c r="G37">
        <v>29.14</v>
      </c>
      <c r="H37">
        <v>5.15</v>
      </c>
      <c r="I37">
        <f t="shared" si="0"/>
        <v>87.42</v>
      </c>
      <c r="J37">
        <v>0.36</v>
      </c>
      <c r="K37">
        <f t="shared" si="1"/>
        <v>-4.07</v>
      </c>
    </row>
    <row r="38" spans="4:11" x14ac:dyDescent="0.3">
      <c r="D38">
        <v>23274</v>
      </c>
      <c r="E38" t="s">
        <v>9</v>
      </c>
      <c r="F38">
        <v>17</v>
      </c>
      <c r="G38">
        <v>3.69</v>
      </c>
      <c r="H38">
        <v>4.8600000000000003</v>
      </c>
      <c r="I38">
        <f t="shared" si="0"/>
        <v>62.73</v>
      </c>
      <c r="J38">
        <v>0.38</v>
      </c>
      <c r="K38">
        <f t="shared" si="1"/>
        <v>1.5999999999999996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F14"/>
  <sheetViews>
    <sheetView tabSelected="1" topLeftCell="A4" workbookViewId="0">
      <selection activeCell="E10" sqref="E10:E14"/>
    </sheetView>
  </sheetViews>
  <sheetFormatPr defaultRowHeight="14.4" x14ac:dyDescent="0.3"/>
  <cols>
    <col min="4" max="4" width="13.77734375" customWidth="1"/>
    <col min="5" max="6" width="12.88671875" customWidth="1"/>
  </cols>
  <sheetData>
    <row r="3" spans="3:6" x14ac:dyDescent="0.3">
      <c r="C3" s="1" t="s">
        <v>2</v>
      </c>
    </row>
    <row r="4" spans="3:6" x14ac:dyDescent="0.3">
      <c r="C4" s="1" t="s">
        <v>20</v>
      </c>
    </row>
    <row r="8" spans="3:6" ht="15" thickBot="1" x14ac:dyDescent="0.35"/>
    <row r="9" spans="3:6" ht="15" thickBot="1" x14ac:dyDescent="0.35">
      <c r="D9" s="8" t="s">
        <v>21</v>
      </c>
      <c r="E9" s="8"/>
      <c r="F9" s="5"/>
    </row>
    <row r="10" spans="3:6" x14ac:dyDescent="0.3">
      <c r="D10" s="4" t="s">
        <v>26</v>
      </c>
      <c r="E10" s="3">
        <v>12</v>
      </c>
    </row>
    <row r="11" spans="3:6" x14ac:dyDescent="0.3">
      <c r="D11" s="4" t="s">
        <v>22</v>
      </c>
      <c r="E11" s="3">
        <v>11</v>
      </c>
    </row>
    <row r="12" spans="3:6" x14ac:dyDescent="0.3">
      <c r="D12" s="4" t="s">
        <v>23</v>
      </c>
      <c r="E12" s="3" t="s">
        <v>27</v>
      </c>
    </row>
    <row r="13" spans="3:6" x14ac:dyDescent="0.3">
      <c r="D13" s="4" t="s">
        <v>24</v>
      </c>
      <c r="E13" s="3" t="s">
        <v>28</v>
      </c>
    </row>
    <row r="14" spans="3:6" x14ac:dyDescent="0.3">
      <c r="D14" s="4" t="s">
        <v>25</v>
      </c>
      <c r="E14" s="6">
        <v>36568</v>
      </c>
    </row>
  </sheetData>
  <mergeCells count="1">
    <mergeCell ref="D9:E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062A2-D042-47C9-BAD2-DCA01B647BE0}">
  <sheetPr codeName="Sheet4"/>
  <dimension ref="B3:G6"/>
  <sheetViews>
    <sheetView workbookViewId="0">
      <selection activeCell="B4" sqref="B4"/>
    </sheetView>
  </sheetViews>
  <sheetFormatPr defaultRowHeight="14.4" x14ac:dyDescent="0.3"/>
  <cols>
    <col min="4" max="4" width="13.21875" customWidth="1"/>
    <col min="5" max="5" width="10.21875" customWidth="1"/>
    <col min="6" max="6" width="10.77734375" customWidth="1"/>
    <col min="7" max="7" width="11.6640625" customWidth="1"/>
  </cols>
  <sheetData>
    <row r="3" spans="2:7" x14ac:dyDescent="0.3">
      <c r="B3" s="7"/>
      <c r="C3" s="7"/>
      <c r="D3" s="7"/>
      <c r="E3" s="7"/>
      <c r="F3" s="7"/>
    </row>
    <row r="4" spans="2:7" x14ac:dyDescent="0.3">
      <c r="B4" s="3">
        <v>12</v>
      </c>
      <c r="C4" s="3">
        <v>11</v>
      </c>
      <c r="D4" s="3" t="s">
        <v>27</v>
      </c>
      <c r="E4" s="3" t="s">
        <v>28</v>
      </c>
      <c r="F4" s="6">
        <v>36568</v>
      </c>
    </row>
    <row r="6" spans="2:7" x14ac:dyDescent="0.3">
      <c r="G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Sheet2</vt:lpstr>
      <vt:lpstr>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useR</cp:lastModifiedBy>
  <dcterms:created xsi:type="dcterms:W3CDTF">2015-06-05T18:17:20Z</dcterms:created>
  <dcterms:modified xsi:type="dcterms:W3CDTF">2022-12-22T07:01:04Z</dcterms:modified>
</cp:coreProperties>
</file>